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torno à máquin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<sst xmlns="http://schemas.openxmlformats.org/spreadsheetml/2006/main" count="49" uniqueCount="49">
  <si>
    <t xml:space="preserve">Não conformidades que deveriam passar de novo pela máquina</t>
  </si>
  <si>
    <t xml:space="preserve">IPA Tomadas e Interruptores · Itajaí · jan a out de 2026 · Estimativa por não conformidade (não é dado medido)</t>
  </si>
  <si>
    <t xml:space="preserve">Não conformidade</t>
  </si>
  <si>
    <t xml:space="preserve">Defeitos</t>
  </si>
  <si>
    <t xml:space="preserve">Mínimo (%)</t>
  </si>
  <si>
    <t xml:space="preserve">Estimativa (%)</t>
  </si>
  <si>
    <t xml:space="preserve">Máximo (%)</t>
  </si>
  <si>
    <t xml:space="preserve">Defeitos que voltam (mín.)</t>
  </si>
  <si>
    <t xml:space="preserve">Defeitos que voltam (estim.)</t>
  </si>
  <si>
    <t xml:space="preserve">Defeitos que voltam (máx.)</t>
  </si>
  <si>
    <t xml:space="preserve">Por quê</t>
  </si>
  <si>
    <t xml:space="preserve">Quantidade inferior</t>
  </si>
  <si>
    <t xml:space="preserve">A contagem errada costuma vir da embaladora. Se o pacote já está selado, abre e reembala. Só a caixa coletiva aberta se completa à mão.</t>
  </si>
  <si>
    <t xml:space="preserve">Erro De Identificação</t>
  </si>
  <si>
    <t xml:space="preserve">Na maioria dos casos basta reetiquetar, sem máquina. Volta só quando a identificação vem impressa no filme ou na embalagem primária.</t>
  </si>
  <si>
    <t xml:space="preserve">Incompleta</t>
  </si>
  <si>
    <t xml:space="preserve">Falta um componente (parafuso, peça do kit, parte da montagem). Completar exige remontar ou reembalar na máquina de origem.</t>
  </si>
  <si>
    <t xml:space="preserve">Quantidade superior</t>
  </si>
  <si>
    <t xml:space="preserve">Mesmo raciocínio da quantidade inferior, mas tirar peça é mais fácil do que pôr. Parte se resolve abrindo a caixa, sem reembalar.</t>
  </si>
  <si>
    <t xml:space="preserve">Matéria Prima Incorreta</t>
  </si>
  <si>
    <t xml:space="preserve">O componente ou material errado precisa ser trocado: desmonta e remonta na máquina. O que não desmonta sem estragar vira sucata.</t>
  </si>
  <si>
    <t xml:space="preserve">Deformada</t>
  </si>
  <si>
    <t xml:space="preserve">A peça deformada não se recupera passando de novo; é sucata. Só volta se o deformado for a embalagem, e não o produto.</t>
  </si>
  <si>
    <t xml:space="preserve">Acabamento Ruim</t>
  </si>
  <si>
    <t xml:space="preserve">Rebarba e aspecto vêm da peça (injeção ou fornecedor). O destino é a correção manual ou a sucata.</t>
  </si>
  <si>
    <t xml:space="preserve">Misturadas</t>
  </si>
  <si>
    <t xml:space="preserve">Referências misturadas na embalagem: separa e reembala. Se o pacote é selado, volta à embaladora.</t>
  </si>
  <si>
    <t xml:space="preserve">Cabideiro Não Conforme</t>
  </si>
  <si>
    <t xml:space="preserve">O cabideiro faz parte da embalagem. Corrigir pede refazer a embalagem.</t>
  </si>
  <si>
    <t xml:space="preserve">Quebra</t>
  </si>
  <si>
    <t xml:space="preserve">Peça quebrada é sucata.</t>
  </si>
  <si>
    <t xml:space="preserve">Manchas</t>
  </si>
  <si>
    <t xml:space="preserve">Limpa à mão ou vira sucata. Só volta se a embalagem tiver de ser trocada.</t>
  </si>
  <si>
    <t xml:space="preserve">Suja</t>
  </si>
  <si>
    <t xml:space="preserve">Limpa à mão. Se a sujeira está dentro da embalagem selada, reembala.</t>
  </si>
  <si>
    <t xml:space="preserve">Furada</t>
  </si>
  <si>
    <t xml:space="preserve">Ambíguo. Se o furo está no filme da embalagem, reembala (100%). Se está na peça, é sucata (0%).</t>
  </si>
  <si>
    <t xml:space="preserve">Prata Invertida</t>
  </si>
  <si>
    <t xml:space="preserve">O contato de prata foi montado ao contrário: erro de montagem. Desmonta e remonta na máquina ou prensa.</t>
  </si>
  <si>
    <t xml:space="preserve">Com Óleo</t>
  </si>
  <si>
    <t xml:space="preserve">Limpa à mão. Vale mais investigar o vazamento na máquina do que repassar a peça.</t>
  </si>
  <si>
    <t xml:space="preserve">Problema Funcionamento</t>
  </si>
  <si>
    <t xml:space="preserve">Testa de novo e remonta, se a causa for montagem. Se for o componente, é sucata.</t>
  </si>
  <si>
    <t xml:space="preserve">Total</t>
  </si>
  <si>
    <t xml:space="preserve">Nos totais, os percentuais de mín., estim. e máx. são a média ponderada pelos defeitos.</t>
  </si>
  <si>
    <t xml:space="preserve">Como ler: a coluna Estimativa (%) é o palpite de quantos defeitos daquela não conformidade voltam à máquina (reembalar, remontar ou refazer). O restante é correção manual ou sucata.</t>
  </si>
  <si>
    <t xml:space="preserve">Células azuis são entradas e podem ser editadas; a célula amarela é a estimativa principal. Os totais e as colunas de defeitos que voltam recalculam sozinhos.</t>
  </si>
  <si>
    <t xml:space="preserve">Origem: Defeitos = painel Power BI "Defeitos Internos Tomadas e Interruptores" (Itajaí, dados de 22/10/2026, soma de jan a out). Percentuais = estimativa de engenharia, sem medição.</t>
  </si>
  <si>
    <t xml:space="preserve">Para trocar a estimativa por dado: peça à Qualidade a disposição de cada reprovação (retrabalho, reetiquetagem, sucata) e digite o percentual real na coluna Estimativa.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</si>
</sst>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%"/>
    <numFmt numFmtId="166" formatCode="0.0"/>
    <numFmt numFmtId="167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  <font>
      <sz val="9"/>
      <color rgb="FF59595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99"/>
        <bgColor rgb="FFFFFFCC"/>
      </patternFill>
    </fill>
    <fill>
      <patternFill patternType="solid">
        <fgColor rgb="FFD9E2F3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8" min="6" style="0" width="16"/>
    <col collapsed="false" customWidth="true" hidden="false" outlineLevel="0" max="9" min="9" style="0" width="7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6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23.85" hidden="false" customHeight="false" outlineLevel="0" collapsed="false">
      <c r="A5" s="4" t="s">
        <v>11</v>
      </c>
      <c r="B5" s="5" t="n">
        <v>47</v>
      </c>
      <c r="C5" s="6" t="n">
        <v>0.5</v>
      </c>
      <c r="D5" s="7" t="n">
        <v>0.6</v>
      </c>
      <c r="E5" s="6" t="n">
        <v>0.75</v>
      </c>
      <c r="F5" s="8" t="n">
        <f aca="false">B5*C5</f>
        <v>23.5</v>
      </c>
      <c r="G5" s="8" t="n">
        <f aca="false">B5*D5</f>
        <v>28.2</v>
      </c>
      <c r="H5" s="8" t="n">
        <f aca="false">B5*E5</f>
        <v>35.25</v>
      </c>
      <c r="I5" s="9" t="s">
        <v>12</v>
      </c>
    </row>
    <row r="6" customFormat="false" ht="23.85" hidden="false" customHeight="false" outlineLevel="0" collapsed="false">
      <c r="A6" s="4" t="s">
        <v>13</v>
      </c>
      <c r="B6" s="5" t="n">
        <v>43</v>
      </c>
      <c r="C6" s="6" t="n">
        <v>0.05</v>
      </c>
      <c r="D6" s="7" t="n">
        <v>0.15</v>
      </c>
      <c r="E6" s="6" t="n">
        <v>0.3</v>
      </c>
      <c r="F6" s="8" t="n">
        <f aca="false">B6*C6</f>
        <v>2.15</v>
      </c>
      <c r="G6" s="8" t="n">
        <f aca="false">B6*D6</f>
        <v>6.45</v>
      </c>
      <c r="H6" s="8" t="n">
        <f aca="false">B6*E6</f>
        <v>12.9</v>
      </c>
      <c r="I6" s="9" t="s">
        <v>14</v>
      </c>
    </row>
    <row r="7" customFormat="false" ht="23.85" hidden="false" customHeight="false" outlineLevel="0" collapsed="false">
      <c r="A7" s="4" t="s">
        <v>15</v>
      </c>
      <c r="B7" s="5" t="n">
        <v>27</v>
      </c>
      <c r="C7" s="6" t="n">
        <v>0.55</v>
      </c>
      <c r="D7" s="7" t="n">
        <v>0.7</v>
      </c>
      <c r="E7" s="6" t="n">
        <v>0.85</v>
      </c>
      <c r="F7" s="8" t="n">
        <f aca="false">B7*C7</f>
        <v>14.85</v>
      </c>
      <c r="G7" s="8" t="n">
        <f aca="false">B7*D7</f>
        <v>18.9</v>
      </c>
      <c r="H7" s="8" t="n">
        <f aca="false">B7*E7</f>
        <v>22.95</v>
      </c>
      <c r="I7" s="9" t="s">
        <v>16</v>
      </c>
    </row>
    <row r="8" customFormat="false" ht="23.85" hidden="false" customHeight="false" outlineLevel="0" collapsed="false">
      <c r="A8" s="4" t="s">
        <v>17</v>
      </c>
      <c r="B8" s="5" t="n">
        <v>25</v>
      </c>
      <c r="C8" s="6" t="n">
        <v>0.35</v>
      </c>
      <c r="D8" s="7" t="n">
        <v>0.5</v>
      </c>
      <c r="E8" s="6" t="n">
        <v>0.65</v>
      </c>
      <c r="F8" s="8" t="n">
        <f aca="false">B8*C8</f>
        <v>8.75</v>
      </c>
      <c r="G8" s="8" t="n">
        <f aca="false">B8*D8</f>
        <v>12.5</v>
      </c>
      <c r="H8" s="8" t="n">
        <f aca="false">B8*E8</f>
        <v>16.25</v>
      </c>
      <c r="I8" s="9" t="s">
        <v>18</v>
      </c>
    </row>
    <row r="9" customFormat="false" ht="23.85" hidden="false" customHeight="false" outlineLevel="0" collapsed="false">
      <c r="A9" s="4" t="s">
        <v>19</v>
      </c>
      <c r="B9" s="5" t="n">
        <v>10</v>
      </c>
      <c r="C9" s="6" t="n">
        <v>0.4</v>
      </c>
      <c r="D9" s="7" t="n">
        <v>0.6</v>
      </c>
      <c r="E9" s="6" t="n">
        <v>0.75</v>
      </c>
      <c r="F9" s="8" t="n">
        <f aca="false">B9*C9</f>
        <v>4</v>
      </c>
      <c r="G9" s="8" t="n">
        <f aca="false">B9*D9</f>
        <v>6</v>
      </c>
      <c r="H9" s="8" t="n">
        <f aca="false">B9*E9</f>
        <v>7.5</v>
      </c>
      <c r="I9" s="9" t="s">
        <v>20</v>
      </c>
    </row>
    <row r="10" customFormat="false" ht="23.85" hidden="false" customHeight="false" outlineLevel="0" collapsed="false">
      <c r="A10" s="4" t="s">
        <v>21</v>
      </c>
      <c r="B10" s="5" t="n">
        <v>5</v>
      </c>
      <c r="C10" s="6" t="n">
        <v>0</v>
      </c>
      <c r="D10" s="7" t="n">
        <v>0.1</v>
      </c>
      <c r="E10" s="6" t="n">
        <v>0.2</v>
      </c>
      <c r="F10" s="8" t="n">
        <f aca="false">B10*C10</f>
        <v>0</v>
      </c>
      <c r="G10" s="8" t="n">
        <f aca="false">B10*D10</f>
        <v>0.5</v>
      </c>
      <c r="H10" s="8" t="n">
        <f aca="false">B10*E10</f>
        <v>1</v>
      </c>
      <c r="I10" s="9" t="s">
        <v>22</v>
      </c>
    </row>
    <row r="11" customFormat="false" ht="23.85" hidden="false" customHeight="false" outlineLevel="0" collapsed="false">
      <c r="A11" s="4" t="s">
        <v>23</v>
      </c>
      <c r="B11" s="5" t="n">
        <v>5</v>
      </c>
      <c r="C11" s="6" t="n">
        <v>0</v>
      </c>
      <c r="D11" s="7" t="n">
        <v>0.1</v>
      </c>
      <c r="E11" s="6" t="n">
        <v>0.2</v>
      </c>
      <c r="F11" s="8" t="n">
        <f aca="false">B11*C11</f>
        <v>0</v>
      </c>
      <c r="G11" s="8" t="n">
        <f aca="false">B11*D11</f>
        <v>0.5</v>
      </c>
      <c r="H11" s="8" t="n">
        <f aca="false">B11*E11</f>
        <v>1</v>
      </c>
      <c r="I11" s="9" t="s">
        <v>24</v>
      </c>
    </row>
    <row r="12" customFormat="false" ht="23.85" hidden="false" customHeight="false" outlineLevel="0" collapsed="false">
      <c r="A12" s="4" t="s">
        <v>25</v>
      </c>
      <c r="B12" s="5" t="n">
        <v>4</v>
      </c>
      <c r="C12" s="6" t="n">
        <v>0.5</v>
      </c>
      <c r="D12" s="7" t="n">
        <v>0.7</v>
      </c>
      <c r="E12" s="6" t="n">
        <v>0.85</v>
      </c>
      <c r="F12" s="8" t="n">
        <f aca="false">B12*C12</f>
        <v>2</v>
      </c>
      <c r="G12" s="8" t="n">
        <f aca="false">B12*D12</f>
        <v>2.8</v>
      </c>
      <c r="H12" s="8" t="n">
        <f aca="false">B12*E12</f>
        <v>3.4</v>
      </c>
      <c r="I12" s="9" t="s">
        <v>26</v>
      </c>
    </row>
    <row r="13" customFormat="false" ht="15" hidden="false" customHeight="false" outlineLevel="0" collapsed="false">
      <c r="A13" s="4" t="s">
        <v>27</v>
      </c>
      <c r="B13" s="5" t="n">
        <v>4</v>
      </c>
      <c r="C13" s="6" t="n">
        <v>0.4</v>
      </c>
      <c r="D13" s="7" t="n">
        <v>0.6</v>
      </c>
      <c r="E13" s="6" t="n">
        <v>0.8</v>
      </c>
      <c r="F13" s="8" t="n">
        <f aca="false">B13*C13</f>
        <v>1.6</v>
      </c>
      <c r="G13" s="8" t="n">
        <f aca="false">B13*D13</f>
        <v>2.4</v>
      </c>
      <c r="H13" s="8" t="n">
        <f aca="false">B13*E13</f>
        <v>3.2</v>
      </c>
      <c r="I13" s="9" t="s">
        <v>28</v>
      </c>
    </row>
    <row r="14" customFormat="false" ht="15" hidden="false" customHeight="false" outlineLevel="0" collapsed="false">
      <c r="A14" s="4" t="s">
        <v>29</v>
      </c>
      <c r="B14" s="5" t="n">
        <v>1</v>
      </c>
      <c r="C14" s="6" t="n">
        <v>0</v>
      </c>
      <c r="D14" s="7" t="n">
        <v>0</v>
      </c>
      <c r="E14" s="6" t="n">
        <v>0.1</v>
      </c>
      <c r="F14" s="8" t="n">
        <f aca="false">B14*C14</f>
        <v>0</v>
      </c>
      <c r="G14" s="8" t="n">
        <f aca="false">B14*D14</f>
        <v>0</v>
      </c>
      <c r="H14" s="8" t="n">
        <f aca="false">B14*E14</f>
        <v>0.1</v>
      </c>
      <c r="I14" s="9" t="s">
        <v>30</v>
      </c>
    </row>
    <row r="15" customFormat="false" ht="15" hidden="false" customHeight="false" outlineLevel="0" collapsed="false">
      <c r="A15" s="4" t="s">
        <v>31</v>
      </c>
      <c r="B15" s="5" t="n">
        <v>1</v>
      </c>
      <c r="C15" s="6" t="n">
        <v>0</v>
      </c>
      <c r="D15" s="7" t="n">
        <v>0.1</v>
      </c>
      <c r="E15" s="6" t="n">
        <v>0.2</v>
      </c>
      <c r="F15" s="8" t="n">
        <f aca="false">B15*C15</f>
        <v>0</v>
      </c>
      <c r="G15" s="8" t="n">
        <f aca="false">B15*D15</f>
        <v>0.1</v>
      </c>
      <c r="H15" s="8" t="n">
        <f aca="false">B15*E15</f>
        <v>0.2</v>
      </c>
      <c r="I15" s="9" t="s">
        <v>32</v>
      </c>
    </row>
    <row r="16" customFormat="false" ht="15" hidden="false" customHeight="false" outlineLevel="0" collapsed="false">
      <c r="A16" s="4" t="s">
        <v>33</v>
      </c>
      <c r="B16" s="5" t="n">
        <v>1</v>
      </c>
      <c r="C16" s="6" t="n">
        <v>0.1</v>
      </c>
      <c r="D16" s="7" t="n">
        <v>0.3</v>
      </c>
      <c r="E16" s="6" t="n">
        <v>0.5</v>
      </c>
      <c r="F16" s="8" t="n">
        <f aca="false">B16*C16</f>
        <v>0.1</v>
      </c>
      <c r="G16" s="8" t="n">
        <f aca="false">B16*D16</f>
        <v>0.3</v>
      </c>
      <c r="H16" s="8" t="n">
        <f aca="false">B16*E16</f>
        <v>0.5</v>
      </c>
      <c r="I16" s="9" t="s">
        <v>34</v>
      </c>
    </row>
    <row r="17" customFormat="false" ht="23.85" hidden="false" customHeight="false" outlineLevel="0" collapsed="false">
      <c r="A17" s="4" t="s">
        <v>35</v>
      </c>
      <c r="B17" s="5" t="n">
        <v>1</v>
      </c>
      <c r="C17" s="6" t="n">
        <v>0.2</v>
      </c>
      <c r="D17" s="7" t="n">
        <v>0.5</v>
      </c>
      <c r="E17" s="6" t="n">
        <v>0.8</v>
      </c>
      <c r="F17" s="8" t="n">
        <f aca="false">B17*C17</f>
        <v>0.2</v>
      </c>
      <c r="G17" s="8" t="n">
        <f aca="false">B17*D17</f>
        <v>0.5</v>
      </c>
      <c r="H17" s="8" t="n">
        <f aca="false">B17*E17</f>
        <v>0.8</v>
      </c>
      <c r="I17" s="9" t="s">
        <v>36</v>
      </c>
    </row>
    <row r="18" customFormat="false" ht="23.85" hidden="false" customHeight="false" outlineLevel="0" collapsed="false">
      <c r="A18" s="4" t="s">
        <v>37</v>
      </c>
      <c r="B18" s="5" t="n">
        <v>1</v>
      </c>
      <c r="C18" s="6" t="n">
        <v>0.6</v>
      </c>
      <c r="D18" s="7" t="n">
        <v>0.8</v>
      </c>
      <c r="E18" s="6" t="n">
        <v>0.95</v>
      </c>
      <c r="F18" s="8" t="n">
        <f aca="false">B18*C18</f>
        <v>0.6</v>
      </c>
      <c r="G18" s="8" t="n">
        <f aca="false">B18*D18</f>
        <v>0.8</v>
      </c>
      <c r="H18" s="8" t="n">
        <f aca="false">B18*E18</f>
        <v>0.95</v>
      </c>
      <c r="I18" s="9" t="s">
        <v>38</v>
      </c>
    </row>
    <row r="19" customFormat="false" ht="15" hidden="false" customHeight="false" outlineLevel="0" collapsed="false">
      <c r="A19" s="4" t="s">
        <v>39</v>
      </c>
      <c r="B19" s="5" t="n">
        <v>1</v>
      </c>
      <c r="C19" s="6" t="n">
        <v>0.1</v>
      </c>
      <c r="D19" s="7" t="n">
        <v>0.2</v>
      </c>
      <c r="E19" s="6" t="n">
        <v>0.4</v>
      </c>
      <c r="F19" s="8" t="n">
        <f aca="false">B19*C19</f>
        <v>0.1</v>
      </c>
      <c r="G19" s="8" t="n">
        <f aca="false">B19*D19</f>
        <v>0.2</v>
      </c>
      <c r="H19" s="8" t="n">
        <f aca="false">B19*E19</f>
        <v>0.4</v>
      </c>
      <c r="I19" s="9" t="s">
        <v>40</v>
      </c>
    </row>
    <row r="20" customFormat="false" ht="15" hidden="false" customHeight="false" outlineLevel="0" collapsed="false">
      <c r="A20" s="4" t="s">
        <v>41</v>
      </c>
      <c r="B20" s="5" t="n">
        <v>1</v>
      </c>
      <c r="C20" s="6" t="n">
        <v>0.3</v>
      </c>
      <c r="D20" s="7" t="n">
        <v>0.5</v>
      </c>
      <c r="E20" s="6" t="n">
        <v>0.7</v>
      </c>
      <c r="F20" s="8" t="n">
        <f aca="false">B20*C20</f>
        <v>0.3</v>
      </c>
      <c r="G20" s="8" t="n">
        <f aca="false">B20*D20</f>
        <v>0.5</v>
      </c>
      <c r="H20" s="8" t="n">
        <f aca="false">B20*E20</f>
        <v>0.7</v>
      </c>
      <c r="I20" s="9" t="s">
        <v>42</v>
      </c>
    </row>
    <row r="21" customFormat="false" ht="15" hidden="false" customHeight="false" outlineLevel="0" collapsed="false">
      <c r="A21" s="10" t="s">
        <v>43</v>
      </c>
      <c r="B21" s="11" t="n">
        <f aca="false">SUM(B5:B20)</f>
        <v>177</v>
      </c>
      <c r="C21" s="12" t="n">
        <f aca="false">F21/B21</f>
        <v>0.328531073446328</v>
      </c>
      <c r="D21" s="12" t="n">
        <f aca="false">G21/B21</f>
        <v>0.455649717514124</v>
      </c>
      <c r="E21" s="12" t="n">
        <f aca="false">H21/B21</f>
        <v>0.605084745762712</v>
      </c>
      <c r="F21" s="13" t="n">
        <f aca="false">SUM(F5:F20)</f>
        <v>58.15</v>
      </c>
      <c r="G21" s="13" t="n">
        <f aca="false">SUM(G5:G20)</f>
        <v>80.65</v>
      </c>
      <c r="H21" s="13" t="n">
        <f aca="false">SUM(H5:H20)</f>
        <v>107.1</v>
      </c>
      <c r="I21" s="14" t="s">
        <v>44</v>
      </c>
    </row>
    <row r="23" customFormat="false" ht="27.75" hidden="false" customHeight="true" outlineLevel="0" collapsed="false">
      <c r="A23" s="15" t="s">
        <v>45</v>
      </c>
      <c r="B23" s="15"/>
      <c r="C23" s="15"/>
      <c r="D23" s="15"/>
      <c r="E23" s="15"/>
      <c r="F23" s="15"/>
      <c r="G23" s="15"/>
      <c r="H23" s="15"/>
      <c r="I23" s="15"/>
    </row>
    <row r="24" customFormat="false" ht="27.75" hidden="false" customHeight="true" outlineLevel="0" collapsed="false">
      <c r="A24" s="15" t="s">
        <v>46</v>
      </c>
      <c r="B24" s="15"/>
      <c r="C24" s="15"/>
      <c r="D24" s="15"/>
      <c r="E24" s="15"/>
      <c r="F24" s="15"/>
      <c r="G24" s="15"/>
      <c r="H24" s="15"/>
      <c r="I24" s="15"/>
    </row>
    <row r="25" customFormat="false" ht="27.75" hidden="false" customHeight="true" outlineLevel="0" collapsed="false">
      <c r="A25" s="15" t="s">
        <v>47</v>
      </c>
      <c r="B25" s="15"/>
      <c r="C25" s="15"/>
      <c r="D25" s="15"/>
      <c r="E25" s="15"/>
      <c r="F25" s="15"/>
      <c r="G25" s="15"/>
      <c r="H25" s="15"/>
      <c r="I25" s="15"/>
    </row>
    <row r="26" customFormat="false" ht="27.75" hidden="false" customHeight="true" outlineLevel="0" collapsed="false">
      <c r="A26" s="15" t="s">
        <v>48</v>
      </c>
      <c r="B26" s="15"/>
      <c r="C26" s="15"/>
      <c r="D26" s="15"/>
      <c r="E26" s="15"/>
      <c r="F26" s="15"/>
      <c r="G26" s="15"/>
      <c r="H26" s="15"/>
      <c r="I26" s="15"/>
    </row>
  </sheetData>
  <mergeCells count="4">
    <mergeCell ref="A23:I23"/>
    <mergeCell ref="A24:I24"/>
    <mergeCell ref="A25:I25"/>
    <mergeCell ref="A26:I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2026-10-22T13:59:00Z</dcterms:created>
  <dc:creator>openpyxl</dc:creator>
  <dc:description/>
  <dc:language>en-US</dc:language>
  <cp:lastModifiedBy/>
  <dcterms:modified xsi:type="dcterms:W3CDTF">2026-10-22T13:59:00Z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